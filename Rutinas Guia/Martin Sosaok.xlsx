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-100" yWindow="-100" windowWidth="23230" windowHeight="12700"/>
  </bookViews>
  <sheets>
    <sheet name="Hoja1" sheetId="1" r:id="rId1"/>
  </sheets>
  <externalReferences>
    <externalReference r:id="rId2"/>
  </externalReferenc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1" l="1"/>
  <c r="E60" i="1"/>
  <c r="E59" i="1"/>
  <c r="E43" i="1"/>
  <c r="E42" i="1"/>
  <c r="E41" i="1"/>
  <c r="E72" i="1" l="1"/>
  <c r="E71" i="1"/>
  <c r="E70" i="1"/>
  <c r="E69" i="1"/>
  <c r="E68" i="1"/>
  <c r="E67" i="1"/>
  <c r="E66" i="1"/>
  <c r="E65" i="1"/>
  <c r="E64" i="1"/>
  <c r="E63" i="1"/>
  <c r="E62" i="1"/>
  <c r="E55" i="1"/>
  <c r="E54" i="1"/>
  <c r="E53" i="1"/>
  <c r="E52" i="1"/>
  <c r="E51" i="1"/>
  <c r="E50" i="1"/>
  <c r="E49" i="1"/>
  <c r="E48" i="1"/>
  <c r="E47" i="1"/>
  <c r="E46" i="1"/>
  <c r="E45" i="1"/>
  <c r="E44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73" i="1"/>
  <c r="E19" i="1"/>
  <c r="E18" i="1"/>
  <c r="E17" i="1"/>
  <c r="E16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<sst xmlns="http://schemas.openxmlformats.org/spreadsheetml/2006/main" count="85" uniqueCount="52">
  <si>
    <t>ENTRENAMIENTO 1</t>
  </si>
  <si>
    <t>SERIES</t>
  </si>
  <si>
    <t>REPS/TIME</t>
  </si>
  <si>
    <t>ENTRENAMIENTO 2</t>
  </si>
  <si>
    <t>ENTRENAMIENTO 3</t>
  </si>
  <si>
    <t>ENTRENAMIENTO 4</t>
  </si>
  <si>
    <t>INDICACIONES</t>
  </si>
  <si>
    <t>DESC</t>
  </si>
  <si>
    <t>60 seg</t>
  </si>
  <si>
    <t>Anotaciones</t>
  </si>
  <si>
    <t>S1</t>
  </si>
  <si>
    <t>S2</t>
  </si>
  <si>
    <t>S3</t>
  </si>
  <si>
    <t>S4</t>
  </si>
  <si>
    <t>S5</t>
  </si>
  <si>
    <t>S6</t>
  </si>
  <si>
    <t>Torso 1: Pecho, biceps, hombros</t>
  </si>
  <si>
    <t>Martin Sosa</t>
  </si>
  <si>
    <t>Piernas 1: Cuadriceps, aductores y gemelos</t>
  </si>
  <si>
    <t>Sentadilla con barra</t>
  </si>
  <si>
    <t>Elevacion de Talones</t>
  </si>
  <si>
    <t>Torso 2: Espalda, triceps, antebrazos</t>
  </si>
  <si>
    <t>pull face</t>
  </si>
  <si>
    <t>Fondos cajon o paralelas</t>
  </si>
  <si>
    <t>Piernas 2: Isquiotibiales y Gluteos</t>
  </si>
  <si>
    <t>Sillon isquios</t>
  </si>
  <si>
    <t>Sentadilla Bulgara</t>
  </si>
  <si>
    <t>Hip Thrust</t>
  </si>
  <si>
    <t>Abdominales cortos c/disco</t>
  </si>
  <si>
    <t>Flexiones de brazos</t>
  </si>
  <si>
    <t>Plancha flexion</t>
  </si>
  <si>
    <t>Press plano con barra</t>
  </si>
  <si>
    <t>Apertura inclinado</t>
  </si>
  <si>
    <t>Press militar con manc</t>
  </si>
  <si>
    <t>Vuelos laterales manc</t>
  </si>
  <si>
    <t>Tirón</t>
  </si>
  <si>
    <t>Curl concentrado</t>
  </si>
  <si>
    <t>Curl martillo con barra</t>
  </si>
  <si>
    <t>Curl en polea</t>
  </si>
  <si>
    <t>Sillon Cuadriceps</t>
  </si>
  <si>
    <t>Caminata Estocada</t>
  </si>
  <si>
    <t>12 pasos</t>
  </si>
  <si>
    <t>Sumo con Barra</t>
  </si>
  <si>
    <t>Abduccion de cadera</t>
  </si>
  <si>
    <t>Rotaciones con  disco</t>
  </si>
  <si>
    <t>Jalon cerrado en polea</t>
  </si>
  <si>
    <t>Remo con Barra</t>
  </si>
  <si>
    <t>Extension trasnuca</t>
  </si>
  <si>
    <t>Patada de Burro</t>
  </si>
  <si>
    <t>elevacion frontal antebrazos</t>
  </si>
  <si>
    <t>Buen día sentado</t>
  </si>
  <si>
    <t>Plancha de arrastre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</si>
</sst>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2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9" fillId="2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topLeftCell="A4" workbookViewId="0">
      <selection sqref="A1:F1"/>
    </sheetView>
  </sheetViews>
  <sheetFormatPr baseColWidth="10" defaultRowHeight="14.5" x14ac:dyDescent="0.35"/>
  <cols>
    <col min="1" max="1" width="28.81640625" style="1" bestFit="1" customWidth="1"/>
    <col min="2" max="2" width="6.81640625" style="1" bestFit="1" customWidth="1"/>
    <col min="3" max="3" width="10.90625" style="1"/>
    <col min="4" max="4" width="9.08984375" style="1" bestFit="1" customWidth="1"/>
    <col min="5" max="5" width="1.6328125" style="1" customWidth="1"/>
    <col min="6" max="6" width="33.36328125" style="1" customWidth="1"/>
    <col min="7" max="13" width="2.90625" bestFit="1" customWidth="1"/>
  </cols>
  <sheetData>
    <row r="1" spans="1:13" ht="21" x14ac:dyDescent="0.35">
      <c r="A1" s="19" t="s">
        <v>17</v>
      </c>
      <c r="B1" s="19"/>
      <c r="C1" s="19"/>
      <c r="D1" s="19"/>
      <c r="E1" s="19"/>
      <c r="F1" s="19"/>
    </row>
    <row r="2" spans="1:13" x14ac:dyDescent="0.35">
      <c r="A2" s="2"/>
      <c r="B2" s="2"/>
      <c r="C2" s="2"/>
      <c r="D2" s="2"/>
      <c r="E2" s="2"/>
      <c r="F2" s="2"/>
    </row>
    <row r="3" spans="1:13" ht="24.5" customHeight="1" x14ac:dyDescent="0.35">
      <c r="A3" s="3" t="s">
        <v>0</v>
      </c>
      <c r="B3" s="18" t="s">
        <v>16</v>
      </c>
      <c r="C3" s="18"/>
      <c r="D3" s="18"/>
      <c r="E3" s="18"/>
      <c r="F3" s="18"/>
      <c r="G3" s="20" t="s">
        <v>9</v>
      </c>
      <c r="H3" s="21"/>
      <c r="I3" s="21"/>
      <c r="J3" s="21"/>
      <c r="K3" s="21"/>
      <c r="L3" s="21"/>
      <c r="M3" s="21"/>
    </row>
    <row r="4" spans="1:13" ht="15.5" x14ac:dyDescent="0.35">
      <c r="A4" s="9"/>
      <c r="B4" s="9" t="s">
        <v>1</v>
      </c>
      <c r="C4" s="10" t="s">
        <v>2</v>
      </c>
      <c r="D4" s="9" t="s">
        <v>7</v>
      </c>
      <c r="E4" s="9"/>
      <c r="F4" s="11" t="s">
        <v>6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13</v>
      </c>
      <c r="L4" s="9" t="s">
        <v>14</v>
      </c>
      <c r="M4" s="9" t="s">
        <v>15</v>
      </c>
    </row>
    <row r="5" spans="1:13" ht="14.5" customHeight="1" x14ac:dyDescent="0.35">
      <c r="A5" s="11" t="s">
        <v>29</v>
      </c>
      <c r="B5" s="11">
        <v>2</v>
      </c>
      <c r="C5" s="11">
        <v>10</v>
      </c>
      <c r="D5" s="11" t="s">
        <v>8</v>
      </c>
      <c r="E5" s="12" t="str">
        <f>IFERROR(HYPERLINK(VLOOKUP(A5,[1]!Baseejercicios[[EJERCICIOS]:[LINK]],2,FALSE),"Video"),"")</f>
        <v/>
      </c>
      <c r="F5" s="13"/>
      <c r="G5" s="14"/>
      <c r="H5" s="15"/>
      <c r="I5" s="15"/>
      <c r="J5" s="15"/>
      <c r="K5" s="15"/>
      <c r="L5" s="15"/>
      <c r="M5" s="15"/>
    </row>
    <row r="6" spans="1:13" ht="15.5" x14ac:dyDescent="0.35">
      <c r="A6" s="11" t="s">
        <v>44</v>
      </c>
      <c r="B6" s="11">
        <v>2</v>
      </c>
      <c r="C6" s="11">
        <v>20</v>
      </c>
      <c r="D6" s="11" t="s">
        <v>8</v>
      </c>
      <c r="E6" s="12" t="str">
        <f>IFERROR(HYPERLINK(VLOOKUP(A6,[1]!Baseejercicios[[EJERCICIOS]:[LINK]],2,FALSE),"Video"),"")</f>
        <v/>
      </c>
      <c r="F6" s="13"/>
      <c r="G6" s="15"/>
      <c r="H6" s="15"/>
      <c r="I6" s="15"/>
      <c r="J6" s="15"/>
      <c r="K6" s="15"/>
      <c r="L6" s="15"/>
      <c r="M6" s="15"/>
    </row>
    <row r="7" spans="1:13" ht="15.5" x14ac:dyDescent="0.35">
      <c r="A7" s="11" t="s">
        <v>30</v>
      </c>
      <c r="B7" s="11">
        <v>2</v>
      </c>
      <c r="C7" s="11">
        <v>10</v>
      </c>
      <c r="D7" s="11" t="s">
        <v>8</v>
      </c>
      <c r="E7" s="12" t="str">
        <f>IFERROR(HYPERLINK(VLOOKUP(A7,[1]!Baseejercicios[[EJERCICIOS]:[LINK]],2,FALSE),"Video"),"")</f>
        <v/>
      </c>
      <c r="F7" s="13"/>
      <c r="G7" s="15"/>
      <c r="H7" s="15"/>
      <c r="I7" s="15"/>
      <c r="J7" s="15"/>
      <c r="K7" s="15"/>
      <c r="L7" s="15"/>
      <c r="M7" s="15"/>
    </row>
    <row r="8" spans="1:13" ht="15.5" x14ac:dyDescent="0.35">
      <c r="A8" s="11"/>
      <c r="B8" s="11"/>
      <c r="C8" s="11"/>
      <c r="D8" s="11"/>
      <c r="E8" s="12" t="str">
        <f>IFERROR(HYPERLINK(VLOOKUP(A8,[1]!Baseejercicios[[EJERCICIOS]:[LINK]],2,FALSE),"Video"),"")</f>
        <v/>
      </c>
      <c r="F8" s="13"/>
      <c r="G8" s="15"/>
      <c r="H8" s="15"/>
      <c r="I8" s="15"/>
      <c r="J8" s="15"/>
      <c r="K8" s="15"/>
      <c r="L8" s="15"/>
      <c r="M8" s="15"/>
    </row>
    <row r="9" spans="1:13" ht="15.5" x14ac:dyDescent="0.35">
      <c r="A9" s="11" t="s">
        <v>31</v>
      </c>
      <c r="B9" s="11">
        <v>4</v>
      </c>
      <c r="C9" s="11">
        <v>10</v>
      </c>
      <c r="D9" s="11">
        <v>120</v>
      </c>
      <c r="E9" s="12" t="str">
        <f>IFERROR(HYPERLINK(VLOOKUP(A10,[1]!Baseejercicios[[EJERCICIOS]:[LINK]],2,FALSE),"Video"),"")</f>
        <v/>
      </c>
      <c r="F9" s="13"/>
      <c r="G9" s="15"/>
      <c r="H9" s="15"/>
      <c r="I9" s="15"/>
      <c r="J9" s="15"/>
      <c r="K9" s="15"/>
      <c r="L9" s="15"/>
      <c r="M9" s="15"/>
    </row>
    <row r="10" spans="1:13" ht="15.5" x14ac:dyDescent="0.35">
      <c r="A10" s="11" t="s">
        <v>32</v>
      </c>
      <c r="B10" s="11">
        <v>3</v>
      </c>
      <c r="C10" s="11">
        <v>10</v>
      </c>
      <c r="D10" s="11">
        <v>120</v>
      </c>
      <c r="E10" s="12" t="str">
        <f>IFERROR(HYPERLINK(VLOOKUP(A9,[1]!Baseejercicios[[EJERCICIOS]:[LINK]],2,FALSE),"Video"),"")</f>
        <v/>
      </c>
      <c r="F10" s="13"/>
      <c r="G10" s="15"/>
      <c r="H10" s="15"/>
      <c r="I10" s="15"/>
      <c r="J10" s="15"/>
      <c r="K10" s="15"/>
      <c r="L10" s="15"/>
      <c r="M10" s="15"/>
    </row>
    <row r="11" spans="1:13" ht="15.5" x14ac:dyDescent="0.35">
      <c r="A11" s="17"/>
      <c r="B11" s="11"/>
      <c r="C11" s="11"/>
      <c r="D11" s="11"/>
      <c r="E11" s="12" t="str">
        <f>IFERROR(HYPERLINK(VLOOKUP(#REF!,[1]!Baseejercicios[[EJERCICIOS]:[LINK]],2,FALSE),"Video"),"")</f>
        <v/>
      </c>
      <c r="F11" s="13"/>
      <c r="G11" s="15"/>
      <c r="H11" s="15"/>
      <c r="I11" s="15"/>
      <c r="J11" s="15"/>
      <c r="K11" s="15"/>
      <c r="L11" s="15"/>
      <c r="M11" s="15"/>
    </row>
    <row r="12" spans="1:13" ht="15.5" x14ac:dyDescent="0.35">
      <c r="A12" s="11" t="s">
        <v>33</v>
      </c>
      <c r="B12" s="11">
        <v>3</v>
      </c>
      <c r="C12" s="11">
        <v>10</v>
      </c>
      <c r="D12" s="11">
        <v>120</v>
      </c>
      <c r="E12" s="12" t="str">
        <f>IFERROR(HYPERLINK(VLOOKUP(A12,[1]!Baseejercicios[[EJERCICIOS]:[LINK]],2,FALSE),"Video"),"")</f>
        <v/>
      </c>
      <c r="F12" s="13"/>
      <c r="G12" s="15"/>
      <c r="H12" s="15"/>
      <c r="I12" s="15"/>
      <c r="J12" s="15"/>
      <c r="K12" s="15"/>
      <c r="L12" s="15"/>
      <c r="M12" s="15"/>
    </row>
    <row r="13" spans="1:13" ht="15.5" x14ac:dyDescent="0.35">
      <c r="A13" s="11" t="s">
        <v>34</v>
      </c>
      <c r="B13" s="11">
        <v>3</v>
      </c>
      <c r="C13" s="11">
        <v>10</v>
      </c>
      <c r="D13" s="11">
        <v>120</v>
      </c>
      <c r="E13" s="12" t="str">
        <f>IFERROR(HYPERLINK(VLOOKUP(A13,[1]!Baseejercicios[[EJERCICIOS]:[LINK]],2,FALSE),"Video"),"")</f>
        <v/>
      </c>
      <c r="F13" s="13"/>
      <c r="G13" s="15"/>
      <c r="H13" s="15"/>
      <c r="I13" s="15"/>
      <c r="J13" s="15"/>
      <c r="K13" s="15"/>
      <c r="L13" s="15"/>
      <c r="M13" s="15"/>
    </row>
    <row r="14" spans="1:13" ht="15.5" x14ac:dyDescent="0.35">
      <c r="A14" s="11" t="s">
        <v>35</v>
      </c>
      <c r="B14" s="11">
        <v>3</v>
      </c>
      <c r="C14" s="11">
        <v>10</v>
      </c>
      <c r="D14" s="11">
        <v>120</v>
      </c>
      <c r="E14" s="12" t="str">
        <f>IFERROR(HYPERLINK(VLOOKUP(A14,[1]!Baseejercicios[[EJERCICIOS]:[LINK]],2,FALSE),"Video"),"")</f>
        <v/>
      </c>
      <c r="F14" s="13"/>
      <c r="G14" s="15"/>
      <c r="H14" s="15"/>
      <c r="I14" s="15"/>
      <c r="J14" s="15"/>
      <c r="K14" s="15"/>
      <c r="L14" s="15"/>
      <c r="M14" s="15"/>
    </row>
    <row r="15" spans="1:13" ht="15.5" x14ac:dyDescent="0.35">
      <c r="G15" s="15"/>
      <c r="H15" s="15"/>
      <c r="I15" s="15"/>
      <c r="J15" s="15"/>
      <c r="K15" s="15"/>
      <c r="L15" s="15"/>
      <c r="M15" s="15"/>
    </row>
    <row r="16" spans="1:13" ht="15.5" x14ac:dyDescent="0.35">
      <c r="A16" s="11" t="s">
        <v>36</v>
      </c>
      <c r="B16" s="11">
        <v>3</v>
      </c>
      <c r="C16" s="11">
        <v>10</v>
      </c>
      <c r="D16" s="11">
        <v>120</v>
      </c>
      <c r="E16" s="12" t="str">
        <f>IFERROR(HYPERLINK(VLOOKUP(A16,[1]!Baseejercicios[[EJERCICIOS]:[LINK]],2,FALSE),"Video"),"")</f>
        <v/>
      </c>
      <c r="F16" s="13"/>
      <c r="G16" s="15"/>
      <c r="H16" s="15"/>
      <c r="I16" s="15"/>
      <c r="J16" s="15"/>
      <c r="K16" s="15"/>
      <c r="L16" s="15"/>
      <c r="M16" s="15"/>
    </row>
    <row r="17" spans="1:13" ht="15.5" x14ac:dyDescent="0.35">
      <c r="A17" s="11" t="s">
        <v>37</v>
      </c>
      <c r="B17" s="11">
        <v>3</v>
      </c>
      <c r="C17" s="11">
        <v>10</v>
      </c>
      <c r="D17" s="11">
        <v>120</v>
      </c>
      <c r="E17" s="12" t="str">
        <f>IFERROR(HYPERLINK(VLOOKUP(A17,[1]!Baseejercicios[[EJERCICIOS]:[LINK]],2,FALSE),"Video"),"")</f>
        <v/>
      </c>
      <c r="F17" s="13"/>
      <c r="G17" s="15"/>
      <c r="H17" s="15"/>
      <c r="I17" s="15"/>
      <c r="J17" s="15"/>
      <c r="K17" s="15"/>
      <c r="L17" s="15"/>
      <c r="M17" s="15"/>
    </row>
    <row r="18" spans="1:13" ht="15.5" x14ac:dyDescent="0.35">
      <c r="A18" s="11" t="s">
        <v>38</v>
      </c>
      <c r="B18" s="11">
        <v>3</v>
      </c>
      <c r="C18" s="11">
        <v>10</v>
      </c>
      <c r="D18" s="11">
        <v>120</v>
      </c>
      <c r="E18" s="12" t="str">
        <f>IFERROR(HYPERLINK(VLOOKUP(A18,[1]!Baseejercicios[[EJERCICIOS]:[LINK]],2,FALSE),"Video"),"")</f>
        <v/>
      </c>
      <c r="F18" s="13"/>
      <c r="G18" s="15"/>
      <c r="H18" s="15"/>
      <c r="I18" s="15"/>
      <c r="J18" s="15"/>
      <c r="K18" s="15"/>
      <c r="L18" s="15"/>
      <c r="M18" s="15"/>
    </row>
    <row r="19" spans="1:13" ht="15.5" x14ac:dyDescent="0.35">
      <c r="A19" s="11"/>
      <c r="B19" s="11"/>
      <c r="C19" s="11"/>
      <c r="D19" s="11"/>
      <c r="E19" s="12" t="str">
        <f>IFERROR(HYPERLINK(VLOOKUP(A19,[1]!Baseejercicios[[EJERCICIOS]:[LINK]],2,FALSE),"Video"),"")</f>
        <v/>
      </c>
      <c r="F19" s="13"/>
      <c r="G19" s="15"/>
      <c r="H19" s="15"/>
      <c r="I19" s="15"/>
      <c r="J19" s="15"/>
      <c r="K19" s="15"/>
      <c r="L19" s="15"/>
      <c r="M19" s="15"/>
    </row>
    <row r="20" spans="1:13" ht="15.5" x14ac:dyDescent="0.35">
      <c r="A20" s="16"/>
      <c r="B20" s="16"/>
      <c r="C20" s="16"/>
      <c r="D20" s="16"/>
      <c r="E20" s="16"/>
      <c r="F20" s="16"/>
      <c r="G20" s="15"/>
      <c r="H20" s="15"/>
      <c r="I20" s="15"/>
      <c r="J20" s="15"/>
      <c r="K20" s="15"/>
      <c r="L20" s="15"/>
      <c r="M20" s="15"/>
    </row>
    <row r="21" spans="1:13" ht="22" x14ac:dyDescent="0.35">
      <c r="A21" s="3" t="s">
        <v>3</v>
      </c>
      <c r="B21" s="18" t="s">
        <v>18</v>
      </c>
      <c r="C21" s="18"/>
      <c r="D21" s="18"/>
      <c r="E21" s="18"/>
      <c r="F21" s="18"/>
      <c r="G21" s="8"/>
    </row>
    <row r="22" spans="1:13" ht="15.5" x14ac:dyDescent="0.35">
      <c r="A22" s="9"/>
      <c r="B22" s="9" t="s">
        <v>1</v>
      </c>
      <c r="C22" s="10" t="s">
        <v>2</v>
      </c>
      <c r="D22" s="9" t="s">
        <v>7</v>
      </c>
      <c r="E22" s="9"/>
      <c r="F22" s="11" t="s">
        <v>6</v>
      </c>
      <c r="G22" s="7"/>
    </row>
    <row r="23" spans="1:13" ht="15.5" x14ac:dyDescent="0.35">
      <c r="A23" s="11" t="s">
        <v>29</v>
      </c>
      <c r="B23" s="11">
        <v>2</v>
      </c>
      <c r="C23" s="11">
        <v>10</v>
      </c>
      <c r="D23" s="11" t="s">
        <v>8</v>
      </c>
      <c r="E23" s="12" t="str">
        <f>IFERROR(HYPERLINK(VLOOKUP(A23,[1]!Baseejercicios[[EJERCICIOS]:[LINK]],2,FALSE),"Video"),"")</f>
        <v/>
      </c>
      <c r="F23" s="13"/>
      <c r="G23" s="7"/>
    </row>
    <row r="24" spans="1:13" ht="15.5" x14ac:dyDescent="0.35">
      <c r="A24" s="11" t="s">
        <v>44</v>
      </c>
      <c r="B24" s="11">
        <v>2</v>
      </c>
      <c r="C24" s="11">
        <v>20</v>
      </c>
      <c r="D24" s="11" t="s">
        <v>8</v>
      </c>
      <c r="E24" s="12" t="str">
        <f>IFERROR(HYPERLINK(VLOOKUP(A24,[1]!Baseejercicios[[EJERCICIOS]:[LINK]],2,FALSE),"Video"),"")</f>
        <v/>
      </c>
      <c r="F24" s="13"/>
      <c r="G24" s="7"/>
    </row>
    <row r="25" spans="1:13" ht="15.5" x14ac:dyDescent="0.35">
      <c r="A25" s="11" t="s">
        <v>30</v>
      </c>
      <c r="B25" s="11">
        <v>2</v>
      </c>
      <c r="C25" s="11">
        <v>10</v>
      </c>
      <c r="D25" s="11" t="s">
        <v>8</v>
      </c>
      <c r="E25" s="12" t="str">
        <f>IFERROR(HYPERLINK(VLOOKUP(A25,[1]!Baseejercicios[[EJERCICIOS]:[LINK]],2,FALSE),"Video"),"")</f>
        <v/>
      </c>
      <c r="F25" s="13"/>
      <c r="G25" s="7"/>
    </row>
    <row r="26" spans="1:13" ht="15.5" x14ac:dyDescent="0.35">
      <c r="A26" s="11"/>
      <c r="B26" s="11"/>
      <c r="C26" s="11"/>
      <c r="D26" s="11"/>
      <c r="E26" s="12" t="str">
        <f>IFERROR(HYPERLINK(VLOOKUP(A26,[1]!Baseejercicios[[EJERCICIOS]:[LINK]],2,FALSE),"Video"),"")</f>
        <v/>
      </c>
      <c r="F26" s="13"/>
      <c r="G26" s="7"/>
    </row>
    <row r="27" spans="1:13" ht="15.5" x14ac:dyDescent="0.35">
      <c r="A27" s="11" t="s">
        <v>19</v>
      </c>
      <c r="B27" s="11">
        <v>3</v>
      </c>
      <c r="C27" s="11">
        <v>10</v>
      </c>
      <c r="D27" s="11">
        <v>120</v>
      </c>
      <c r="E27" s="12" t="str">
        <f>IFERROR(HYPERLINK(VLOOKUP(A28,[1]!Baseejercicios[[EJERCICIOS]:[LINK]],2,FALSE),"Video"),"")</f>
        <v/>
      </c>
      <c r="F27" s="13"/>
      <c r="G27" s="7"/>
    </row>
    <row r="28" spans="1:13" ht="15.5" x14ac:dyDescent="0.35">
      <c r="A28" s="11" t="s">
        <v>39</v>
      </c>
      <c r="B28" s="11">
        <v>3</v>
      </c>
      <c r="C28" s="11">
        <v>10</v>
      </c>
      <c r="D28" s="11">
        <v>120</v>
      </c>
      <c r="E28" s="12" t="str">
        <f>IFERROR(HYPERLINK(VLOOKUP(A27,[1]!Baseejercicios[[EJERCICIOS]:[LINK]],2,FALSE),"Video"),"")</f>
        <v/>
      </c>
      <c r="F28" s="13"/>
      <c r="G28" s="7"/>
    </row>
    <row r="29" spans="1:13" ht="15.5" x14ac:dyDescent="0.35">
      <c r="A29" s="17" t="s">
        <v>40</v>
      </c>
      <c r="B29" s="11">
        <v>3</v>
      </c>
      <c r="C29" s="11" t="s">
        <v>41</v>
      </c>
      <c r="D29" s="11">
        <v>120</v>
      </c>
      <c r="E29" s="12" t="str">
        <f>IFERROR(HYPERLINK(VLOOKUP(#REF!,[1]!Baseejercicios[[EJERCICIOS]:[LINK]],2,FALSE),"Video"),"")</f>
        <v/>
      </c>
      <c r="F29" s="13"/>
      <c r="G29" s="7"/>
    </row>
    <row r="30" spans="1:13" ht="15.5" x14ac:dyDescent="0.35">
      <c r="A30" s="11"/>
      <c r="B30" s="11"/>
      <c r="C30" s="11"/>
      <c r="D30" s="11"/>
      <c r="E30" s="12" t="str">
        <f>IFERROR(HYPERLINK(VLOOKUP(A30,[1]!Baseejercicios[[EJERCICIOS]:[LINK]],2,FALSE),"Video"),"")</f>
        <v/>
      </c>
      <c r="F30" s="13"/>
      <c r="G30" s="7"/>
    </row>
    <row r="31" spans="1:13" ht="15.5" x14ac:dyDescent="0.35">
      <c r="A31" s="11" t="s">
        <v>42</v>
      </c>
      <c r="B31" s="11">
        <v>3</v>
      </c>
      <c r="C31" s="11">
        <v>10</v>
      </c>
      <c r="D31" s="11">
        <v>120</v>
      </c>
      <c r="E31" s="12" t="str">
        <f>IFERROR(HYPERLINK(VLOOKUP(A31,[1]!Baseejercicios[[EJERCICIOS]:[LINK]],2,FALSE),"Video"),"")</f>
        <v/>
      </c>
      <c r="F31" s="13"/>
      <c r="G31" s="7"/>
    </row>
    <row r="32" spans="1:13" ht="15.5" x14ac:dyDescent="0.35">
      <c r="A32" s="11" t="s">
        <v>43</v>
      </c>
      <c r="B32" s="11">
        <v>3</v>
      </c>
      <c r="C32" s="11">
        <v>20</v>
      </c>
      <c r="D32" s="11">
        <v>120</v>
      </c>
      <c r="E32" s="12" t="str">
        <f>IFERROR(HYPERLINK(VLOOKUP(A32,[1]!Baseejercicios[[EJERCICIOS]:[LINK]],2,FALSE),"Video"),"")</f>
        <v/>
      </c>
      <c r="F32" s="13"/>
      <c r="G32" s="7"/>
    </row>
    <row r="33" spans="1:7" ht="15.5" x14ac:dyDescent="0.35">
      <c r="A33" s="11"/>
      <c r="B33" s="11"/>
      <c r="C33" s="11"/>
      <c r="D33" s="11"/>
      <c r="E33" s="12" t="str">
        <f>IFERROR(HYPERLINK(VLOOKUP(A33,[1]!Baseejercicios[[EJERCICIOS]:[LINK]],2,FALSE),"Video"),"")</f>
        <v/>
      </c>
      <c r="F33" s="13"/>
      <c r="G33" s="7"/>
    </row>
    <row r="34" spans="1:7" ht="15.5" x14ac:dyDescent="0.35">
      <c r="A34" s="11"/>
      <c r="B34" s="11"/>
      <c r="C34" s="11"/>
      <c r="D34" s="11"/>
      <c r="E34" s="12" t="str">
        <f>IFERROR(HYPERLINK(VLOOKUP(A34,[1]!Baseejercicios[[EJERCICIOS]:[LINK]],2,FALSE),"Video"),"")</f>
        <v/>
      </c>
      <c r="F34" s="13"/>
      <c r="G34" s="7"/>
    </row>
    <row r="35" spans="1:7" ht="15.5" x14ac:dyDescent="0.35">
      <c r="A35" s="11" t="s">
        <v>20</v>
      </c>
      <c r="B35" s="11">
        <v>3</v>
      </c>
      <c r="C35" s="11">
        <v>10</v>
      </c>
      <c r="D35" s="11">
        <v>120</v>
      </c>
      <c r="E35" s="12" t="str">
        <f>IFERROR(HYPERLINK(VLOOKUP(A35,[1]!Baseejercicios[[EJERCICIOS]:[LINK]],2,FALSE),"Video"),"")</f>
        <v/>
      </c>
      <c r="F35" s="13"/>
      <c r="G35" s="7"/>
    </row>
    <row r="36" spans="1:7" ht="15.5" x14ac:dyDescent="0.35">
      <c r="A36" s="11"/>
      <c r="B36" s="11"/>
      <c r="C36" s="11"/>
      <c r="D36" s="11"/>
      <c r="E36" s="12" t="str">
        <f>IFERROR(HYPERLINK(VLOOKUP(A36,[1]!Baseejercicios[[EJERCICIOS]:[LINK]],2,FALSE),"Video"),"")</f>
        <v/>
      </c>
      <c r="F36" s="13"/>
      <c r="G36" s="7"/>
    </row>
    <row r="37" spans="1:7" ht="15.5" x14ac:dyDescent="0.35">
      <c r="A37" s="11"/>
      <c r="B37" s="11"/>
      <c r="C37" s="11"/>
      <c r="D37" s="11"/>
      <c r="E37" s="12" t="str">
        <f>IFERROR(HYPERLINK(VLOOKUP(A37,[1]!Baseejercicios[[EJERCICIOS]:[LINK]],2,FALSE),"Video"),"")</f>
        <v/>
      </c>
      <c r="F37" s="13"/>
      <c r="G37" s="7"/>
    </row>
    <row r="38" spans="1:7" ht="15.5" x14ac:dyDescent="0.35">
      <c r="A38" s="16"/>
      <c r="B38" s="16"/>
      <c r="C38" s="16"/>
      <c r="D38" s="16"/>
      <c r="E38" s="16"/>
      <c r="F38" s="16"/>
      <c r="G38" s="7"/>
    </row>
    <row r="39" spans="1:7" ht="22" x14ac:dyDescent="0.35">
      <c r="A39" s="3" t="s">
        <v>4</v>
      </c>
      <c r="B39" s="18" t="s">
        <v>21</v>
      </c>
      <c r="C39" s="18"/>
      <c r="D39" s="18"/>
      <c r="E39" s="18"/>
      <c r="F39" s="18"/>
      <c r="G39" s="7"/>
    </row>
    <row r="40" spans="1:7" ht="15.5" x14ac:dyDescent="0.35">
      <c r="A40" s="9"/>
      <c r="B40" s="9" t="s">
        <v>1</v>
      </c>
      <c r="C40" s="10" t="s">
        <v>2</v>
      </c>
      <c r="D40" s="9" t="s">
        <v>7</v>
      </c>
      <c r="E40" s="9"/>
      <c r="F40" s="11" t="s">
        <v>6</v>
      </c>
      <c r="G40" s="7"/>
    </row>
    <row r="41" spans="1:7" ht="15.5" x14ac:dyDescent="0.35">
      <c r="A41" s="11" t="s">
        <v>29</v>
      </c>
      <c r="B41" s="11">
        <v>2</v>
      </c>
      <c r="C41" s="11">
        <v>10</v>
      </c>
      <c r="D41" s="11" t="s">
        <v>8</v>
      </c>
      <c r="E41" s="12" t="str">
        <f>IFERROR(HYPERLINK(VLOOKUP(A41,[1]!Baseejercicios[[EJERCICIOS]:[LINK]],2,FALSE),"Video"),"")</f>
        <v/>
      </c>
      <c r="F41" s="13"/>
      <c r="G41" s="7"/>
    </row>
    <row r="42" spans="1:7" ht="15.5" x14ac:dyDescent="0.35">
      <c r="A42" s="11" t="s">
        <v>44</v>
      </c>
      <c r="B42" s="11">
        <v>2</v>
      </c>
      <c r="C42" s="11">
        <v>20</v>
      </c>
      <c r="D42" s="11" t="s">
        <v>8</v>
      </c>
      <c r="E42" s="12" t="str">
        <f>IFERROR(HYPERLINK(VLOOKUP(A42,[1]!Baseejercicios[[EJERCICIOS]:[LINK]],2,FALSE),"Video"),"")</f>
        <v/>
      </c>
      <c r="F42" s="13"/>
      <c r="G42" s="7"/>
    </row>
    <row r="43" spans="1:7" ht="15.5" x14ac:dyDescent="0.35">
      <c r="A43" s="11" t="s">
        <v>30</v>
      </c>
      <c r="B43" s="11">
        <v>2</v>
      </c>
      <c r="C43" s="11">
        <v>10</v>
      </c>
      <c r="D43" s="11" t="s">
        <v>8</v>
      </c>
      <c r="E43" s="12" t="str">
        <f>IFERROR(HYPERLINK(VLOOKUP(A43,[1]!Baseejercicios[[EJERCICIOS]:[LINK]],2,FALSE),"Video"),"")</f>
        <v/>
      </c>
      <c r="F43" s="13"/>
      <c r="G43" s="7"/>
    </row>
    <row r="44" spans="1:7" ht="15.5" x14ac:dyDescent="0.35">
      <c r="A44" s="11"/>
      <c r="B44" s="11"/>
      <c r="C44" s="11"/>
      <c r="D44" s="11"/>
      <c r="E44" s="12" t="str">
        <f>IFERROR(HYPERLINK(VLOOKUP(A44,[1]!Baseejercicios[[EJERCICIOS]:[LINK]],2,FALSE),"Video"),"")</f>
        <v/>
      </c>
      <c r="F44" s="13"/>
      <c r="G44" s="7"/>
    </row>
    <row r="45" spans="1:7" ht="15.5" x14ac:dyDescent="0.35">
      <c r="A45" s="11" t="s">
        <v>45</v>
      </c>
      <c r="B45" s="11">
        <v>4</v>
      </c>
      <c r="C45" s="11">
        <v>10</v>
      </c>
      <c r="D45" s="11">
        <v>120</v>
      </c>
      <c r="E45" s="12" t="str">
        <f>IFERROR(HYPERLINK(VLOOKUP(A46,[1]!Baseejercicios[[EJERCICIOS]:[LINK]],2,FALSE),"Video"),"")</f>
        <v/>
      </c>
      <c r="F45" s="13"/>
      <c r="G45" s="7"/>
    </row>
    <row r="46" spans="1:7" ht="15.5" x14ac:dyDescent="0.35">
      <c r="A46" s="11" t="s">
        <v>46</v>
      </c>
      <c r="B46" s="11">
        <v>3</v>
      </c>
      <c r="C46" s="11">
        <v>10</v>
      </c>
      <c r="D46" s="11">
        <v>120</v>
      </c>
      <c r="E46" s="12" t="str">
        <f>IFERROR(HYPERLINK(VLOOKUP(A45,[1]!Baseejercicios[[EJERCICIOS]:[LINK]],2,FALSE),"Video"),"")</f>
        <v/>
      </c>
      <c r="F46" s="13"/>
      <c r="G46" s="7"/>
    </row>
    <row r="47" spans="1:7" ht="15.5" x14ac:dyDescent="0.35">
      <c r="A47" s="11" t="s">
        <v>22</v>
      </c>
      <c r="B47" s="11">
        <v>3</v>
      </c>
      <c r="C47" s="11">
        <v>12</v>
      </c>
      <c r="D47" s="11">
        <v>120</v>
      </c>
      <c r="E47" s="12" t="str">
        <f>IFERROR(HYPERLINK(VLOOKUP(#REF!,[1]!Baseejercicios[[EJERCICIOS]:[LINK]],2,FALSE),"Video"),"")</f>
        <v/>
      </c>
      <c r="F47" s="13"/>
      <c r="G47" s="7"/>
    </row>
    <row r="48" spans="1:7" ht="15.5" x14ac:dyDescent="0.35">
      <c r="E48" s="12" t="str">
        <f>IFERROR(HYPERLINK(VLOOKUP(A47,[1]!Baseejercicios[[EJERCICIOS]:[LINK]],2,FALSE),"Video"),"")</f>
        <v/>
      </c>
      <c r="F48" s="13"/>
      <c r="G48" s="7"/>
    </row>
    <row r="49" spans="1:7" ht="15.5" x14ac:dyDescent="0.35">
      <c r="A49" s="11" t="s">
        <v>48</v>
      </c>
      <c r="B49" s="11">
        <v>3</v>
      </c>
      <c r="C49" s="11">
        <v>10</v>
      </c>
      <c r="D49" s="11">
        <v>120</v>
      </c>
      <c r="E49" s="12" t="str">
        <f>IFERROR(HYPERLINK(VLOOKUP(A49,[1]!Baseejercicios[[EJERCICIOS]:[LINK]],2,FALSE),"Video"),"")</f>
        <v/>
      </c>
      <c r="F49" s="13"/>
      <c r="G49" s="7"/>
    </row>
    <row r="50" spans="1:7" ht="15.5" x14ac:dyDescent="0.35">
      <c r="A50" s="11" t="s">
        <v>47</v>
      </c>
      <c r="B50" s="11">
        <v>3</v>
      </c>
      <c r="C50" s="11">
        <v>10</v>
      </c>
      <c r="D50" s="11">
        <v>120</v>
      </c>
      <c r="E50" s="12" t="str">
        <f>IFERROR(HYPERLINK(VLOOKUP(A50,[1]!Baseejercicios[[EJERCICIOS]:[LINK]],2,FALSE),"Video"),"")</f>
        <v/>
      </c>
      <c r="F50" s="13"/>
      <c r="G50" s="7"/>
    </row>
    <row r="51" spans="1:7" ht="15.5" x14ac:dyDescent="0.35">
      <c r="A51" s="11" t="s">
        <v>23</v>
      </c>
      <c r="B51" s="11">
        <v>3</v>
      </c>
      <c r="C51" s="11">
        <v>10</v>
      </c>
      <c r="D51" s="11">
        <v>120</v>
      </c>
      <c r="E51" s="12" t="str">
        <f>IFERROR(HYPERLINK(VLOOKUP(A51,[1]!Baseejercicios[[EJERCICIOS]:[LINK]],2,FALSE),"Video"),"")</f>
        <v/>
      </c>
      <c r="F51" s="13"/>
      <c r="G51" s="7"/>
    </row>
    <row r="52" spans="1:7" ht="15.5" x14ac:dyDescent="0.35">
      <c r="A52" s="11"/>
      <c r="B52" s="11"/>
      <c r="C52" s="11"/>
      <c r="D52" s="11"/>
      <c r="E52" s="12" t="str">
        <f>IFERROR(HYPERLINK(VLOOKUP(A52,[1]!Baseejercicios[[EJERCICIOS]:[LINK]],2,FALSE),"Video"),"")</f>
        <v/>
      </c>
      <c r="F52" s="13"/>
      <c r="G52" s="7"/>
    </row>
    <row r="53" spans="1:7" ht="15.5" x14ac:dyDescent="0.35">
      <c r="A53" s="11" t="s">
        <v>49</v>
      </c>
      <c r="B53" s="11">
        <v>3</v>
      </c>
      <c r="C53" s="11">
        <v>10</v>
      </c>
      <c r="D53" s="11">
        <v>120</v>
      </c>
      <c r="E53" s="12" t="str">
        <f>IFERROR(HYPERLINK(VLOOKUP(A53,[1]!Baseejercicios[[EJERCICIOS]:[LINK]],2,FALSE),"Video"),"")</f>
        <v/>
      </c>
      <c r="F53" s="13"/>
      <c r="G53" s="7"/>
    </row>
    <row r="54" spans="1:7" ht="15.5" x14ac:dyDescent="0.35">
      <c r="A54" s="11" t="s">
        <v>28</v>
      </c>
      <c r="B54" s="11">
        <v>3</v>
      </c>
      <c r="C54" s="11">
        <v>20</v>
      </c>
      <c r="D54" s="11">
        <v>120</v>
      </c>
      <c r="E54" s="12" t="str">
        <f>IFERROR(HYPERLINK(VLOOKUP(A54,[1]!Baseejercicios[[EJERCICIOS]:[LINK]],2,FALSE),"Video"),"")</f>
        <v/>
      </c>
      <c r="F54" s="13"/>
      <c r="G54" s="7"/>
    </row>
    <row r="55" spans="1:7" ht="15.5" x14ac:dyDescent="0.35">
      <c r="A55" s="11"/>
      <c r="B55" s="11"/>
      <c r="C55" s="11"/>
      <c r="D55" s="11"/>
      <c r="E55" s="12" t="str">
        <f>IFERROR(HYPERLINK(VLOOKUP(A55,[1]!Baseejercicios[[EJERCICIOS]:[LINK]],2,FALSE),"Video"),"")</f>
        <v/>
      </c>
      <c r="F55" s="13"/>
      <c r="G55" s="7"/>
    </row>
    <row r="56" spans="1:7" ht="15.5" x14ac:dyDescent="0.35">
      <c r="A56" s="16"/>
      <c r="B56" s="16"/>
      <c r="C56" s="16"/>
      <c r="D56" s="16"/>
      <c r="E56" s="16"/>
      <c r="F56" s="16"/>
      <c r="G56" s="7"/>
    </row>
    <row r="57" spans="1:7" ht="22" x14ac:dyDescent="0.35">
      <c r="A57" s="3" t="s">
        <v>5</v>
      </c>
      <c r="B57" s="18" t="s">
        <v>24</v>
      </c>
      <c r="C57" s="18"/>
      <c r="D57" s="18"/>
      <c r="E57" s="18"/>
      <c r="F57" s="18"/>
      <c r="G57" s="7"/>
    </row>
    <row r="58" spans="1:7" ht="15.5" x14ac:dyDescent="0.35">
      <c r="A58" s="9"/>
      <c r="B58" s="9" t="s">
        <v>1</v>
      </c>
      <c r="C58" s="10" t="s">
        <v>2</v>
      </c>
      <c r="D58" s="9" t="s">
        <v>7</v>
      </c>
      <c r="E58" s="9"/>
      <c r="F58" s="11" t="s">
        <v>6</v>
      </c>
      <c r="G58" s="7"/>
    </row>
    <row r="59" spans="1:7" ht="15.5" x14ac:dyDescent="0.35">
      <c r="A59" s="11" t="s">
        <v>29</v>
      </c>
      <c r="B59" s="11">
        <v>2</v>
      </c>
      <c r="C59" s="11">
        <v>10</v>
      </c>
      <c r="D59" s="11" t="s">
        <v>8</v>
      </c>
      <c r="E59" s="12" t="str">
        <f>IFERROR(HYPERLINK(VLOOKUP(A59,[1]!Baseejercicios[[EJERCICIOS]:[LINK]],2,FALSE),"Video"),"")</f>
        <v/>
      </c>
      <c r="F59" s="13"/>
      <c r="G59" s="7"/>
    </row>
    <row r="60" spans="1:7" ht="15.5" x14ac:dyDescent="0.35">
      <c r="A60" s="11" t="s">
        <v>44</v>
      </c>
      <c r="B60" s="11">
        <v>2</v>
      </c>
      <c r="C60" s="11">
        <v>20</v>
      </c>
      <c r="D60" s="11" t="s">
        <v>8</v>
      </c>
      <c r="E60" s="12" t="str">
        <f>IFERROR(HYPERLINK(VLOOKUP(A60,[1]!Baseejercicios[[EJERCICIOS]:[LINK]],2,FALSE),"Video"),"")</f>
        <v/>
      </c>
      <c r="F60" s="13"/>
      <c r="G60" s="7"/>
    </row>
    <row r="61" spans="1:7" ht="15.5" x14ac:dyDescent="0.35">
      <c r="A61" s="11" t="s">
        <v>30</v>
      </c>
      <c r="B61" s="11">
        <v>2</v>
      </c>
      <c r="C61" s="11">
        <v>10</v>
      </c>
      <c r="D61" s="11" t="s">
        <v>8</v>
      </c>
      <c r="E61" s="12" t="str">
        <f>IFERROR(HYPERLINK(VLOOKUP(A61,[1]!Baseejercicios[[EJERCICIOS]:[LINK]],2,FALSE),"Video"),"")</f>
        <v/>
      </c>
      <c r="F61" s="13"/>
      <c r="G61" s="7"/>
    </row>
    <row r="62" spans="1:7" ht="15.5" x14ac:dyDescent="0.35">
      <c r="A62" s="11"/>
      <c r="B62" s="11"/>
      <c r="C62" s="11"/>
      <c r="D62" s="11"/>
      <c r="E62" s="12" t="str">
        <f>IFERROR(HYPERLINK(VLOOKUP(A62,[1]!Baseejercicios[[EJERCICIOS]:[LINK]],2,FALSE),"Video"),"")</f>
        <v/>
      </c>
      <c r="F62" s="13"/>
      <c r="G62" s="7"/>
    </row>
    <row r="63" spans="1:7" ht="15.5" x14ac:dyDescent="0.35">
      <c r="A63" s="11" t="s">
        <v>25</v>
      </c>
      <c r="B63" s="11">
        <v>3</v>
      </c>
      <c r="C63" s="11">
        <v>10</v>
      </c>
      <c r="D63" s="11">
        <v>120</v>
      </c>
      <c r="E63" s="12" t="str">
        <f>IFERROR(HYPERLINK(VLOOKUP(A63,[1]!Baseejercicios[[EJERCICIOS]:[LINK]],2,FALSE),"Video"),"")</f>
        <v/>
      </c>
      <c r="F63" s="13"/>
      <c r="G63" s="7"/>
    </row>
    <row r="64" spans="1:7" ht="15.5" x14ac:dyDescent="0.35">
      <c r="A64" s="17" t="s">
        <v>50</v>
      </c>
      <c r="B64" s="11">
        <v>3</v>
      </c>
      <c r="C64" s="11">
        <v>10</v>
      </c>
      <c r="D64" s="11">
        <v>120</v>
      </c>
      <c r="E64" s="12" t="str">
        <f>IFERROR(HYPERLINK(VLOOKUP(#REF!,[1]!Baseejercicios[[EJERCICIOS]:[LINK]],2,FALSE),"Video"),"")</f>
        <v/>
      </c>
      <c r="F64" s="13"/>
      <c r="G64" s="7"/>
    </row>
    <row r="65" spans="1:7" ht="15.5" x14ac:dyDescent="0.35">
      <c r="E65" s="12" t="str">
        <f>IFERROR(HYPERLINK(VLOOKUP(#REF!,[1]!Baseejercicios[[EJERCICIOS]:[LINK]],2,FALSE),"Video"),"")</f>
        <v/>
      </c>
      <c r="F65" s="13"/>
      <c r="G65" s="7"/>
    </row>
    <row r="66" spans="1:7" ht="15.5" x14ac:dyDescent="0.35">
      <c r="A66" s="11"/>
      <c r="B66" s="11"/>
      <c r="C66" s="11"/>
      <c r="D66" s="11"/>
      <c r="E66" s="12" t="str">
        <f>IFERROR(HYPERLINK(VLOOKUP(A66,[1]!Baseejercicios[[EJERCICIOS]:[LINK]],2,FALSE),"Video"),"")</f>
        <v/>
      </c>
      <c r="F66" s="13"/>
      <c r="G66" s="7"/>
    </row>
    <row r="67" spans="1:7" ht="15.5" x14ac:dyDescent="0.35">
      <c r="A67" s="11" t="s">
        <v>26</v>
      </c>
      <c r="B67" s="11">
        <v>3</v>
      </c>
      <c r="C67" s="11">
        <v>8</v>
      </c>
      <c r="D67" s="11">
        <v>120</v>
      </c>
      <c r="E67" s="12" t="str">
        <f>IFERROR(HYPERLINK(VLOOKUP(A67,[1]!Baseejercicios[[EJERCICIOS]:[LINK]],2,FALSE),"Video"),"")</f>
        <v/>
      </c>
      <c r="F67" s="13"/>
      <c r="G67" s="7"/>
    </row>
    <row r="68" spans="1:7" ht="15.5" x14ac:dyDescent="0.35">
      <c r="A68" s="11" t="s">
        <v>27</v>
      </c>
      <c r="B68" s="11">
        <v>3</v>
      </c>
      <c r="C68" s="11">
        <v>10</v>
      </c>
      <c r="D68" s="11">
        <v>120</v>
      </c>
      <c r="E68" s="12" t="str">
        <f>IFERROR(HYPERLINK(VLOOKUP(A68,[1]!Baseejercicios[[EJERCICIOS]:[LINK]],2,FALSE),"Video"),"")</f>
        <v/>
      </c>
      <c r="F68" s="13"/>
      <c r="G68" s="7"/>
    </row>
    <row r="69" spans="1:7" ht="15.5" x14ac:dyDescent="0.35">
      <c r="A69" s="11"/>
      <c r="B69" s="11"/>
      <c r="C69" s="11"/>
      <c r="D69" s="11"/>
      <c r="E69" s="12" t="str">
        <f>IFERROR(HYPERLINK(VLOOKUP(A69,[1]!Baseejercicios[[EJERCICIOS]:[LINK]],2,FALSE),"Video"),"")</f>
        <v/>
      </c>
      <c r="F69" s="13"/>
      <c r="G69" s="7"/>
    </row>
    <row r="70" spans="1:7" ht="15.5" x14ac:dyDescent="0.35">
      <c r="A70" s="11" t="s">
        <v>51</v>
      </c>
      <c r="B70" s="11">
        <v>3</v>
      </c>
      <c r="C70" s="11">
        <v>20</v>
      </c>
      <c r="D70" s="11">
        <v>120</v>
      </c>
      <c r="E70" s="12" t="str">
        <f>IFERROR(HYPERLINK(VLOOKUP(A70,[1]!Baseejercicios[[EJERCICIOS]:[LINK]],2,FALSE),"Video"),"")</f>
        <v/>
      </c>
      <c r="F70" s="13"/>
      <c r="G70" s="7"/>
    </row>
    <row r="71" spans="1:7" ht="15.5" x14ac:dyDescent="0.35">
      <c r="A71" s="11"/>
      <c r="B71" s="11"/>
      <c r="C71" s="11"/>
      <c r="D71" s="11"/>
      <c r="E71" s="12" t="str">
        <f>IFERROR(HYPERLINK(VLOOKUP(A71,[1]!Baseejercicios[[EJERCICIOS]:[LINK]],2,FALSE),"Video"),"")</f>
        <v/>
      </c>
      <c r="F71" s="13"/>
      <c r="G71" s="7"/>
    </row>
    <row r="72" spans="1:7" ht="15.5" x14ac:dyDescent="0.35">
      <c r="A72" s="11"/>
      <c r="B72" s="11"/>
      <c r="C72" s="11"/>
      <c r="D72" s="11"/>
      <c r="E72" s="12" t="str">
        <f>IFERROR(HYPERLINK(VLOOKUP(A72,[1]!Baseejercicios[[EJERCICIOS]:[LINK]],2,FALSE),"Video"),"")</f>
        <v/>
      </c>
      <c r="F72" s="13"/>
      <c r="G72" s="7"/>
    </row>
    <row r="73" spans="1:7" x14ac:dyDescent="0.35">
      <c r="A73" s="4"/>
      <c r="B73" s="4"/>
      <c r="C73" s="4"/>
      <c r="D73" s="4"/>
      <c r="E73" s="5" t="str">
        <f>IFERROR(HYPERLINK(VLOOKUP(A73,[1]!Baseejercicios[[EJERCICIOS]:[LINK]],2,FALSE),"Video"),"")</f>
        <v/>
      </c>
      <c r="F73" s="6"/>
      <c r="G73" s="7"/>
    </row>
  </sheetData>
  <mergeCells count="6">
    <mergeCell ref="B57:F57"/>
    <mergeCell ref="A1:F1"/>
    <mergeCell ref="G3:M3"/>
    <mergeCell ref="B21:F21"/>
    <mergeCell ref="B3:F3"/>
    <mergeCell ref="B39:F39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2026-02-05T20:23:32Z</cp:lastPrinted>
  <dcterms:created xsi:type="dcterms:W3CDTF">2025-11-21T16:24:18Z</dcterms:created>
  <dcterms:modified xsi:type="dcterms:W3CDTF">2026-02-10T04:04:29Z</dcterms:modified>
</cp:coreProperties>
</file>